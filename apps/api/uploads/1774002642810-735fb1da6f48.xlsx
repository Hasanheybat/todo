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mc:AlternateContent xmlns:mc="http://schemas.openxmlformats.org/markup-compatibility/2006">
    <mc:Choice Requires="x15">
      <x15ac:absPath xmlns:x15ac="http://schemas.microsoft.com/office/spreadsheetml/2010/11/ac" url="/Users/hasan/Desktop/"/>
    </mc:Choice>
  </mc:AlternateContent>
  <xr:revisionPtr revIDLastSave="0" documentId="13_ncr:1_{AA09F9FE-9376-6E42-B001-F3FA9F512DF5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4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4" i="1" l="1"/>
  <c r="F58" i="1"/>
  <c r="F42" i="1"/>
  <c r="F36" i="1"/>
  <c r="F28" i="1"/>
  <c r="F16" i="1"/>
  <c r="F8" i="1"/>
  <c r="F51" i="1"/>
</calcChain>
</file>

<file path=xl/sharedStrings.xml><?xml version="1.0" encoding="utf-8"?>
<sst xmlns="http://schemas.openxmlformats.org/spreadsheetml/2006/main" count="216" uniqueCount="109">
  <si>
    <t>Sayım</t>
  </si>
  <si>
    <t>Proqram qalığı</t>
  </si>
  <si>
    <t>Miqdar fərqi</t>
  </si>
  <si>
    <t xml:space="preserve">Məbləğ fərqi, azn. </t>
  </si>
  <si>
    <t>PÜRE ÜMUMİ(MEYVƏ PÜRELƏRİ)</t>
  </si>
  <si>
    <t>L</t>
  </si>
  <si>
    <t>sirop ile evez/ coctail ve limonadlara gore</t>
  </si>
  <si>
    <t>VİSKİ MACALLAN 12</t>
  </si>
  <si>
    <t>1bottle Şamil beydedir 700ml</t>
  </si>
  <si>
    <t>CHANDON BRUT/ROSE (SPARKLİNG WINE)</t>
  </si>
  <si>
    <t>oktyabrda artiq 2.75 litr olub. Tekrar sayildi ve 30.75 litr oldu eskik 1 bottle coxaldi. 4 gun erzinde 1 bottle eskik olub 1-4 noyabr</t>
  </si>
  <si>
    <t>TƏBİİ ŞİRƏ 1 LİTR</t>
  </si>
  <si>
    <t>bu tapilmadi eskik olaraq qalir</t>
  </si>
  <si>
    <t>ÇAXIR TORRES SAN VALENTİN TEMPRANİLLO RED/WHITE</t>
  </si>
  <si>
    <t>oktyabr 9btl sayilib eslinde 8 btl var imis sehv sayoıib</t>
  </si>
  <si>
    <t>VİSKİ CHİVAS 12</t>
  </si>
  <si>
    <t>6.450 litr sayildi 500ml eskik</t>
  </si>
  <si>
    <t>Maya dəyəri, azn.</t>
  </si>
  <si>
    <t>Şərh</t>
  </si>
  <si>
    <t>Əd.</t>
  </si>
  <si>
    <t>PİVƏ ÇƏLLƏK LEFFE</t>
  </si>
  <si>
    <t>elde yoxdur 10litr xarab kimi silinme olub yene de eskikdir</t>
  </si>
  <si>
    <t>ƏT HİNDUŞKA RULET</t>
  </si>
  <si>
    <t>kq</t>
  </si>
  <si>
    <t>smoked et novlerinde qramaj ferqi</t>
  </si>
  <si>
    <t xml:space="preserve">ƏT HİNDQUŞU  </t>
  </si>
  <si>
    <t xml:space="preserve">10cu ay alinib silinme yoxdur </t>
  </si>
  <si>
    <t>Mal Bar Baribal</t>
  </si>
  <si>
    <t>Mal PİVƏ BARIBAL</t>
  </si>
  <si>
    <t>Mal Matbax BARIBAL</t>
  </si>
  <si>
    <t>Sayim</t>
  </si>
  <si>
    <t>ö/v</t>
  </si>
  <si>
    <t xml:space="preserve">Məbləğ fərqi. azn. </t>
  </si>
  <si>
    <t>ƏT DANA CAN ƏTİ</t>
  </si>
  <si>
    <t>can etinin mzpsiinin resepti sehvdir faktiki 14 kq temizlemede 27 kq sehv edilib</t>
  </si>
  <si>
    <t>əd</t>
  </si>
  <si>
    <t>ƏT OSABUKA ƏDƏD</t>
  </si>
  <si>
    <t>ƏT DANA QABIRĞA(ŞAPALAQ) ƏDƏD</t>
  </si>
  <si>
    <t>SİGARA BÖRƏYİ ƏDƏD</t>
  </si>
  <si>
    <t>BALIQ KÜTÜM</t>
  </si>
  <si>
    <t>PROSECCO ASTORİA BUTTERFLY/ROSE</t>
  </si>
  <si>
    <t>reseptde 120 qeyd edoilib 150 olmalidir  eyer 150 silinse idi 1 litr olacaqdi eskik</t>
  </si>
  <si>
    <t>ÇAXIR AZ ABRAU</t>
  </si>
  <si>
    <t xml:space="preserve">Hillside vurulub az abrau verilib menyudan cixib </t>
  </si>
  <si>
    <t>PİVƏ EFES ZERO 0.330 ML</t>
  </si>
  <si>
    <t>Eskik</t>
  </si>
  <si>
    <t>VODKA SELECTED</t>
  </si>
  <si>
    <t>ÇAXIR LİNDEMANS BİN 50/65 75 AUSTRALİA</t>
  </si>
  <si>
    <t>BADAM SÜDÜ</t>
  </si>
  <si>
    <t>Mal MATBAX MANZARA</t>
  </si>
  <si>
    <t>Mal BAR MANZARA</t>
  </si>
  <si>
    <t>Yadda saxlama</t>
  </si>
  <si>
    <t>ƏT DANA BASDIRMA BƏRK</t>
  </si>
  <si>
    <t>KARTOF ALMA DİLİM</t>
  </si>
  <si>
    <t>ƏT HİND QUŞU HİSƏ VERİLMİŞ</t>
  </si>
  <si>
    <t>SU SİRAB PREMİUM  750 ML ŞÜŞƏ</t>
  </si>
  <si>
    <t>2,40</t>
  </si>
  <si>
    <t>0.33 qazdisi olmadigina gore 0.75 verilib</t>
  </si>
  <si>
    <t>LİKOR PASSOA</t>
  </si>
  <si>
    <t>74,28</t>
  </si>
  <si>
    <t>pornostar terkibinde 20 yazilib amma 30 qram istifsde edilir</t>
  </si>
  <si>
    <t>COLA/FANTA/SPRİTE 330 ML ŞÜŞƏ/BANKA</t>
  </si>
  <si>
    <t>1,28</t>
  </si>
  <si>
    <t>kokteyle litlik olmadagina gore istifade edilib</t>
  </si>
  <si>
    <t>PİVƏ ERDİNGER DARK 0.550 ML</t>
  </si>
  <si>
    <t>5,80</t>
  </si>
  <si>
    <t>SIQARET WINSTON</t>
  </si>
  <si>
    <t>4,20</t>
  </si>
  <si>
    <t>MALAFEMMENA TONİC 200 ML</t>
  </si>
  <si>
    <t>2,50</t>
  </si>
  <si>
    <t>TONİK SU 330 ML</t>
  </si>
  <si>
    <t>1,29</t>
  </si>
  <si>
    <t>Mal Matbax MCCOY</t>
  </si>
  <si>
    <t>faktiki anbar qaliiq ile yoxladiq 1litrden cox artiq gelir / sayimda sayilmayan var idi</t>
  </si>
  <si>
    <t>MZP MCCOY nastoykasi</t>
  </si>
  <si>
    <t>faktiki qaliq ile yoxladiq sayimda 1 botl marazelkada sayilmamisdi</t>
  </si>
  <si>
    <t>ROM  BACARDİ CARTA BLANCA / GOLD/NEGRA</t>
  </si>
  <si>
    <t>goze yari sayima gore ola biler</t>
  </si>
  <si>
    <t>LİKOR ABSENTA XENTA</t>
  </si>
  <si>
    <t>VODKA STOLİÇNAYA SEVER LT</t>
  </si>
  <si>
    <t>ƏT QUZU QOŞA BUD</t>
  </si>
  <si>
    <t>10 faiz itki yazilib sef deyir azdir deyisiylik olunmadi</t>
  </si>
  <si>
    <t>BALIQ DORADO H/V</t>
  </si>
  <si>
    <t>asagi xaladelnik sayilmayib orda hem hazir mehsul hem mzp var idi ona gore eskik dedi sef/// hemin xaladelnikler sayildi yerindedir mal</t>
  </si>
  <si>
    <t>BALIQ FOREL H/V</t>
  </si>
  <si>
    <t>asagi xaladelnik sayilmayib orda hem hazir mehsul hem mzp var idi ona gore eskik gorunur / xaladelnikdedir mal duzdur</t>
  </si>
  <si>
    <t>ƏT İVERİYA RUS-GÜRCÜ MONKEY</t>
  </si>
  <si>
    <t>diger iveriya musbetdir ama ferq var 56 eded menfidir</t>
  </si>
  <si>
    <t>ƏT OXOTNİK RUS MONKEY</t>
  </si>
  <si>
    <t>yerli oxotnik artiqdir</t>
  </si>
  <si>
    <t>ƏT SÜDLÜ RUS MONKEY</t>
  </si>
  <si>
    <t>yerli sudlu artiqddir</t>
  </si>
  <si>
    <t>ƏT SARDELKA YERLİ MONKEY</t>
  </si>
  <si>
    <t>sardelkalar eskik</t>
  </si>
  <si>
    <t>BALIQ VOBLA HİSƏ VERİLMİŞ</t>
  </si>
  <si>
    <t>ƏT SÜMÜK DANA</t>
  </si>
  <si>
    <t>BALIQ ŞAMAYKA H/V</t>
  </si>
  <si>
    <t>ÇƏRƏZ ANTEP PÜSTƏ (BÜTÖV)</t>
  </si>
  <si>
    <t>ARASDİRDİQ TAP BİLMEDİK</t>
  </si>
  <si>
    <t>SOUS MAMASİTA</t>
  </si>
  <si>
    <t>Əskik</t>
  </si>
  <si>
    <t>Mal BAR  MONKEY</t>
  </si>
  <si>
    <t>Mal MATBAX MONKEY</t>
  </si>
  <si>
    <t>Mal Bar MCCOY</t>
  </si>
  <si>
    <t xml:space="preserve">tutulmur </t>
  </si>
  <si>
    <t>0,7 sayima elave edilsin tutulmur</t>
  </si>
  <si>
    <t>chefle danis</t>
  </si>
  <si>
    <t>tutulmur</t>
  </si>
  <si>
    <t>arasdir gor niye litirlik olmayib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</si>
</sst>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,###,###,###,###,###,###,###,##0.000;\-##,###,###,###,###,###,###,###,##0.000"/>
    <numFmt numFmtId="165" formatCode="#########################0.000;\-#########################0.000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.25"/>
      <color rgb="FF000000"/>
      <name val="Tahoma"/>
      <family val="2"/>
      <charset val="204"/>
    </font>
    <font>
      <sz val="8.25"/>
      <color rgb="FF000000"/>
      <name val="Tahoma"/>
      <family val="2"/>
      <charset val="204"/>
    </font>
    <font>
      <sz val="8.25"/>
      <color rgb="FFFF0000"/>
      <name val="Tahoma"/>
      <family val="2"/>
      <charset val="204"/>
    </font>
    <font>
      <sz val="8.25"/>
      <color rgb="FF000000"/>
      <name val="Tahoma"/>
      <family val="2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  <font>
      <b/>
      <sz val="8.25"/>
      <color rgb="FF000000"/>
      <name val="Tahoma"/>
      <family val="2"/>
    </font>
    <font>
      <sz val="8.25"/>
      <color rgb="FFFF0000"/>
      <name val="Tahoma"/>
      <family val="2"/>
    </font>
    <font>
      <b/>
      <u/>
      <sz val="8.25"/>
      <color rgb="FF000000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/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/>
      <top/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  <border>
      <left/>
      <right/>
      <top/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/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49" fontId="2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vertical="center" readingOrder="1"/>
    </xf>
    <xf numFmtId="49" fontId="3" fillId="3" borderId="1" xfId="0" applyNumberFormat="1" applyFont="1" applyFill="1" applyBorder="1" applyAlignment="1">
      <alignment horizontal="center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164" fontId="2" fillId="4" borderId="1" xfId="0" applyNumberFormat="1" applyFont="1" applyFill="1" applyBorder="1" applyAlignment="1">
      <alignment horizontal="right" vertical="center" readingOrder="1"/>
    </xf>
    <xf numFmtId="49" fontId="3" fillId="4" borderId="1" xfId="0" applyNumberFormat="1" applyFont="1" applyFill="1" applyBorder="1" applyAlignment="1">
      <alignment horizontal="left" vertical="center" readingOrder="1"/>
    </xf>
    <xf numFmtId="165" fontId="3" fillId="4" borderId="1" xfId="0" applyNumberFormat="1" applyFont="1" applyFill="1" applyBorder="1" applyAlignment="1">
      <alignment horizontal="center" vertical="center" readingOrder="1"/>
    </xf>
    <xf numFmtId="165" fontId="4" fillId="4" borderId="1" xfId="0" applyNumberFormat="1" applyFont="1" applyFill="1" applyBorder="1" applyAlignment="1">
      <alignment horizontal="center" vertical="center" readingOrder="1"/>
    </xf>
    <xf numFmtId="4" fontId="4" fillId="4" borderId="1" xfId="0" applyNumberFormat="1" applyFont="1" applyFill="1" applyBorder="1" applyAlignment="1">
      <alignment horizontal="center" vertical="center" readingOrder="1"/>
    </xf>
    <xf numFmtId="49" fontId="2" fillId="5" borderId="1" xfId="0" applyNumberFormat="1" applyFont="1" applyFill="1" applyBorder="1" applyAlignment="1">
      <alignment horizontal="left" vertical="center" readingOrder="1"/>
    </xf>
    <xf numFmtId="164" fontId="2" fillId="5" borderId="1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165" fontId="3" fillId="5" borderId="1" xfId="0" applyNumberFormat="1" applyFont="1" applyFill="1" applyBorder="1" applyAlignment="1">
      <alignment horizontal="center" vertical="center" readingOrder="1"/>
    </xf>
    <xf numFmtId="165" fontId="4" fillId="5" borderId="1" xfId="0" applyNumberFormat="1" applyFont="1" applyFill="1" applyBorder="1" applyAlignment="1">
      <alignment horizontal="center" vertical="center" readingOrder="1"/>
    </xf>
    <xf numFmtId="4" fontId="4" fillId="5" borderId="1" xfId="0" applyNumberFormat="1" applyFont="1" applyFill="1" applyBorder="1" applyAlignment="1">
      <alignment horizontal="center" vertical="center" readingOrder="1"/>
    </xf>
    <xf numFmtId="49" fontId="5" fillId="3" borderId="1" xfId="0" applyNumberFormat="1" applyFont="1" applyFill="1" applyBorder="1" applyAlignment="1">
      <alignment vertical="center" readingOrder="1"/>
    </xf>
    <xf numFmtId="49" fontId="6" fillId="5" borderId="1" xfId="0" applyNumberFormat="1" applyFont="1" applyFill="1" applyBorder="1" applyAlignment="1">
      <alignment horizontal="left" vertical="center" readingOrder="1"/>
    </xf>
    <xf numFmtId="164" fontId="6" fillId="5" borderId="1" xfId="0" applyNumberFormat="1" applyFont="1" applyFill="1" applyBorder="1" applyAlignment="1">
      <alignment horizontal="right" vertical="center" readingOrder="1"/>
    </xf>
    <xf numFmtId="49" fontId="5" fillId="5" borderId="1" xfId="0" applyNumberFormat="1" applyFont="1" applyFill="1" applyBorder="1" applyAlignment="1">
      <alignment horizontal="left" vertical="center" readingOrder="1"/>
    </xf>
    <xf numFmtId="165" fontId="5" fillId="5" borderId="1" xfId="0" applyNumberFormat="1" applyFont="1" applyFill="1" applyBorder="1" applyAlignment="1">
      <alignment horizontal="right" vertical="center" readingOrder="1"/>
    </xf>
    <xf numFmtId="165" fontId="4" fillId="5" borderId="1" xfId="0" applyNumberFormat="1" applyFont="1" applyFill="1" applyBorder="1" applyAlignment="1">
      <alignment vertical="center" readingOrder="1"/>
    </xf>
    <xf numFmtId="4" fontId="4" fillId="5" borderId="1" xfId="0" applyNumberFormat="1" applyFont="1" applyFill="1" applyBorder="1" applyAlignment="1">
      <alignment horizontal="right" vertical="center" readingOrder="1"/>
    </xf>
    <xf numFmtId="0" fontId="3" fillId="5" borderId="1" xfId="0" applyFont="1" applyFill="1" applyBorder="1" applyAlignment="1">
      <alignment horizontal="left" vertical="center" readingOrder="1"/>
    </xf>
    <xf numFmtId="49" fontId="6" fillId="4" borderId="1" xfId="0" applyNumberFormat="1" applyFont="1" applyFill="1" applyBorder="1" applyAlignment="1">
      <alignment horizontal="left" vertical="center" readingOrder="1"/>
    </xf>
    <xf numFmtId="165" fontId="2" fillId="4" borderId="1" xfId="0" applyNumberFormat="1" applyFont="1" applyFill="1" applyBorder="1" applyAlignment="1">
      <alignment horizontal="right" vertical="center" readingOrder="1"/>
    </xf>
    <xf numFmtId="49" fontId="5" fillId="4" borderId="1" xfId="0" applyNumberFormat="1" applyFont="1" applyFill="1" applyBorder="1" applyAlignment="1">
      <alignment horizontal="left" vertical="center" readingOrder="1"/>
    </xf>
    <xf numFmtId="165" fontId="5" fillId="4" borderId="1" xfId="0" applyNumberFormat="1" applyFont="1" applyFill="1" applyBorder="1" applyAlignment="1">
      <alignment horizontal="right" vertical="center" readingOrder="1"/>
    </xf>
    <xf numFmtId="165" fontId="4" fillId="4" borderId="1" xfId="0" applyNumberFormat="1" applyFont="1" applyFill="1" applyBorder="1" applyAlignment="1">
      <alignment vertical="center" readingOrder="1"/>
    </xf>
    <xf numFmtId="4" fontId="4" fillId="4" borderId="1" xfId="0" applyNumberFormat="1" applyFont="1" applyFill="1" applyBorder="1" applyAlignment="1">
      <alignment horizontal="right" vertical="center" readingOrder="1"/>
    </xf>
    <xf numFmtId="164" fontId="8" fillId="5" borderId="1" xfId="0" applyNumberFormat="1" applyFont="1" applyFill="1" applyBorder="1" applyAlignment="1">
      <alignment horizontal="right" vertical="center" readingOrder="1"/>
    </xf>
    <xf numFmtId="49" fontId="7" fillId="5" borderId="1" xfId="0" applyNumberFormat="1" applyFont="1" applyFill="1" applyBorder="1" applyAlignment="1">
      <alignment horizontal="left" vertical="center" readingOrder="1"/>
    </xf>
    <xf numFmtId="0" fontId="7" fillId="5" borderId="1" xfId="0" applyFont="1" applyFill="1" applyBorder="1" applyAlignment="1">
      <alignment horizontal="left" vertical="center" readingOrder="1"/>
    </xf>
    <xf numFmtId="164" fontId="8" fillId="4" borderId="1" xfId="0" applyNumberFormat="1" applyFont="1" applyFill="1" applyBorder="1" applyAlignment="1">
      <alignment horizontal="right" vertical="center" readingOrder="1"/>
    </xf>
    <xf numFmtId="49" fontId="7" fillId="4" borderId="1" xfId="0" applyNumberFormat="1" applyFont="1" applyFill="1" applyBorder="1" applyAlignment="1">
      <alignment horizontal="left" vertical="center" readingOrder="1"/>
    </xf>
    <xf numFmtId="49" fontId="8" fillId="4" borderId="1" xfId="0" applyNumberFormat="1" applyFont="1" applyFill="1" applyBorder="1" applyAlignment="1">
      <alignment horizontal="left" vertical="center" readingOrder="1"/>
    </xf>
    <xf numFmtId="49" fontId="8" fillId="4" borderId="2" xfId="0" applyNumberFormat="1" applyFont="1" applyFill="1" applyBorder="1" applyAlignment="1">
      <alignment horizontal="left" vertical="center" readingOrder="1"/>
    </xf>
    <xf numFmtId="165" fontId="7" fillId="4" borderId="2" xfId="0" applyNumberFormat="1" applyFont="1" applyFill="1" applyBorder="1" applyAlignment="1">
      <alignment horizontal="right" vertical="center" readingOrder="1"/>
    </xf>
    <xf numFmtId="0" fontId="9" fillId="4" borderId="2" xfId="0" applyFont="1" applyFill="1" applyBorder="1" applyAlignment="1">
      <alignment horizontal="right" vertical="center" readingOrder="1"/>
    </xf>
    <xf numFmtId="49" fontId="8" fillId="5" borderId="1" xfId="0" applyNumberFormat="1" applyFont="1" applyFill="1" applyBorder="1" applyAlignment="1">
      <alignment horizontal="left" vertical="center" readingOrder="1"/>
    </xf>
    <xf numFmtId="165" fontId="7" fillId="5" borderId="1" xfId="0" applyNumberFormat="1" applyFont="1" applyFill="1" applyBorder="1" applyAlignment="1">
      <alignment horizontal="right" vertical="center" readingOrder="1"/>
    </xf>
    <xf numFmtId="0" fontId="9" fillId="5" borderId="1" xfId="0" applyFont="1" applyFill="1" applyBorder="1" applyAlignment="1">
      <alignment horizontal="right" vertical="center" readingOrder="1"/>
    </xf>
    <xf numFmtId="0" fontId="1" fillId="0" borderId="0" xfId="0" applyFont="1"/>
    <xf numFmtId="165" fontId="10" fillId="4" borderId="1" xfId="0" applyNumberFormat="1" applyFont="1" applyFill="1" applyBorder="1" applyAlignment="1">
      <alignment horizontal="right" vertical="center" readingOrder="1"/>
    </xf>
    <xf numFmtId="0" fontId="5" fillId="5" borderId="1" xfId="0" applyFont="1" applyFill="1" applyBorder="1" applyAlignment="1">
      <alignment horizontal="left" vertical="center" readingOrder="1"/>
    </xf>
    <xf numFmtId="165" fontId="10" fillId="5" borderId="1" xfId="0" applyNumberFormat="1" applyFont="1" applyFill="1" applyBorder="1" applyAlignment="1">
      <alignment horizontal="right" vertical="center" readingOrder="1"/>
    </xf>
    <xf numFmtId="4" fontId="1" fillId="0" borderId="0" xfId="0" applyNumberFormat="1" applyFont="1"/>
    <xf numFmtId="49" fontId="7" fillId="3" borderId="1" xfId="0" applyNumberFormat="1" applyFont="1" applyFill="1" applyBorder="1" applyAlignment="1">
      <alignment vertical="center" readingOrder="1"/>
    </xf>
    <xf numFmtId="165" fontId="9" fillId="5" borderId="1" xfId="0" applyNumberFormat="1" applyFont="1" applyFill="1" applyBorder="1" applyAlignment="1">
      <alignment horizontal="right" vertical="center" readingOrder="1"/>
    </xf>
    <xf numFmtId="4" fontId="9" fillId="5" borderId="1" xfId="0" applyNumberFormat="1" applyFont="1" applyFill="1" applyBorder="1" applyAlignment="1">
      <alignment horizontal="right" vertical="center" readingOrder="1"/>
    </xf>
    <xf numFmtId="165" fontId="9" fillId="4" borderId="1" xfId="0" applyNumberFormat="1" applyFont="1" applyFill="1" applyBorder="1" applyAlignment="1">
      <alignment horizontal="right" vertical="center" readingOrder="1"/>
    </xf>
    <xf numFmtId="4" fontId="9" fillId="4" borderId="1" xfId="0" applyNumberFormat="1" applyFont="1" applyFill="1" applyBorder="1" applyAlignment="1">
      <alignment horizontal="right" vertical="center" readingOrder="1"/>
    </xf>
    <xf numFmtId="49" fontId="7" fillId="3" borderId="1" xfId="0" applyNumberFormat="1" applyFont="1" applyFill="1" applyBorder="1" applyAlignment="1">
      <alignment horizontal="center" vertical="center" readingOrder="1"/>
    </xf>
    <xf numFmtId="4" fontId="7" fillId="5" borderId="1" xfId="0" applyNumberFormat="1" applyFont="1" applyFill="1" applyBorder="1" applyAlignment="1">
      <alignment horizontal="center" vertical="center" readingOrder="1"/>
    </xf>
    <xf numFmtId="165" fontId="9" fillId="5" borderId="1" xfId="0" applyNumberFormat="1" applyFont="1" applyFill="1" applyBorder="1" applyAlignment="1">
      <alignment horizontal="center" vertical="center" readingOrder="1"/>
    </xf>
    <xf numFmtId="4" fontId="9" fillId="5" borderId="1" xfId="0" applyNumberFormat="1" applyFont="1" applyFill="1" applyBorder="1" applyAlignment="1">
      <alignment horizontal="center" vertical="center" readingOrder="1"/>
    </xf>
    <xf numFmtId="4" fontId="7" fillId="4" borderId="1" xfId="0" applyNumberFormat="1" applyFont="1" applyFill="1" applyBorder="1" applyAlignment="1">
      <alignment horizontal="center" vertical="center" readingOrder="1"/>
    </xf>
    <xf numFmtId="165" fontId="9" fillId="4" borderId="1" xfId="0" applyNumberFormat="1" applyFont="1" applyFill="1" applyBorder="1" applyAlignment="1">
      <alignment horizontal="center" vertical="center" readingOrder="1"/>
    </xf>
    <xf numFmtId="4" fontId="9" fillId="4" borderId="1" xfId="0" applyNumberFormat="1" applyFont="1" applyFill="1" applyBorder="1" applyAlignment="1">
      <alignment horizontal="center" vertical="center" readingOrder="1"/>
    </xf>
    <xf numFmtId="49" fontId="3" fillId="4" borderId="1" xfId="0" applyNumberFormat="1" applyFont="1" applyFill="1" applyBorder="1" applyAlignment="1">
      <alignment horizontal="center" vertical="center" readingOrder="1"/>
    </xf>
    <xf numFmtId="4" fontId="3" fillId="4" borderId="1" xfId="0" applyNumberFormat="1" applyFont="1" applyFill="1" applyBorder="1" applyAlignment="1">
      <alignment horizontal="center" vertical="center" readingOrder="1"/>
    </xf>
    <xf numFmtId="49" fontId="3" fillId="5" borderId="1" xfId="0" applyNumberFormat="1" applyFont="1" applyFill="1" applyBorder="1" applyAlignment="1">
      <alignment horizontal="center" vertical="center" readingOrder="1"/>
    </xf>
    <xf numFmtId="4" fontId="3" fillId="5" borderId="1" xfId="0" applyNumberFormat="1" applyFont="1" applyFill="1" applyBorder="1" applyAlignment="1">
      <alignment horizontal="center" vertical="center" readingOrder="1"/>
    </xf>
    <xf numFmtId="164" fontId="2" fillId="4" borderId="1" xfId="0" applyNumberFormat="1" applyFont="1" applyFill="1" applyBorder="1" applyAlignment="1">
      <alignment horizontal="center" vertical="center" readingOrder="1"/>
    </xf>
    <xf numFmtId="0" fontId="3" fillId="4" borderId="1" xfId="0" applyFont="1" applyFill="1" applyBorder="1" applyAlignment="1">
      <alignment horizontal="left" vertical="center" readingOrder="1"/>
    </xf>
    <xf numFmtId="164" fontId="2" fillId="5" borderId="1" xfId="0" applyNumberFormat="1" applyFont="1" applyFill="1" applyBorder="1" applyAlignment="1">
      <alignment horizontal="center" vertical="center" readingOrder="1"/>
    </xf>
    <xf numFmtId="49" fontId="2" fillId="4" borderId="1" xfId="0" applyNumberFormat="1" applyFont="1" applyFill="1" applyBorder="1" applyAlignment="1">
      <alignment vertical="center" readingOrder="1"/>
    </xf>
    <xf numFmtId="165" fontId="10" fillId="4" borderId="1" xfId="0" applyNumberFormat="1" applyFont="1" applyFill="1" applyBorder="1" applyAlignment="1">
      <alignment vertical="center" readingOrder="1"/>
    </xf>
    <xf numFmtId="165" fontId="3" fillId="4" borderId="1" xfId="0" applyNumberFormat="1" applyFont="1" applyFill="1" applyBorder="1" applyAlignment="1">
      <alignment vertical="center" readingOrder="1"/>
    </xf>
    <xf numFmtId="165" fontId="10" fillId="5" borderId="1" xfId="0" applyNumberFormat="1" applyFont="1" applyFill="1" applyBorder="1" applyAlignment="1">
      <alignment horizontal="center" vertical="center" readingOrder="1"/>
    </xf>
    <xf numFmtId="165" fontId="10" fillId="4" borderId="1" xfId="0" applyNumberFormat="1" applyFont="1" applyFill="1" applyBorder="1" applyAlignment="1">
      <alignment horizontal="center" vertical="center" readingOrder="1"/>
    </xf>
    <xf numFmtId="0" fontId="11" fillId="0" borderId="0" xfId="0" applyFont="1"/>
    <xf numFmtId="165" fontId="10" fillId="4" borderId="7" xfId="0" applyNumberFormat="1" applyFont="1" applyFill="1" applyBorder="1" applyAlignment="1">
      <alignment horizontal="center" vertical="center" readingOrder="1"/>
    </xf>
    <xf numFmtId="49" fontId="2" fillId="5" borderId="1" xfId="0" applyNumberFormat="1" applyFont="1" applyFill="1" applyBorder="1" applyAlignment="1">
      <alignment vertical="center" readingOrder="1"/>
    </xf>
    <xf numFmtId="165" fontId="10" fillId="5" borderId="1" xfId="0" applyNumberFormat="1" applyFont="1" applyFill="1" applyBorder="1" applyAlignment="1">
      <alignment vertical="center" readingOrder="1"/>
    </xf>
    <xf numFmtId="165" fontId="9" fillId="5" borderId="6" xfId="0" applyNumberFormat="1" applyFont="1" applyFill="1" applyBorder="1" applyAlignment="1">
      <alignment vertical="center" readingOrder="1"/>
    </xf>
    <xf numFmtId="165" fontId="9" fillId="4" borderId="3" xfId="0" applyNumberFormat="1" applyFont="1" applyFill="1" applyBorder="1" applyAlignment="1">
      <alignment vertical="center" readingOrder="1"/>
    </xf>
    <xf numFmtId="165" fontId="9" fillId="5" borderId="3" xfId="0" applyNumberFormat="1" applyFont="1" applyFill="1" applyBorder="1" applyAlignment="1">
      <alignment vertical="center" readingOrder="1"/>
    </xf>
    <xf numFmtId="165" fontId="9" fillId="5" borderId="5" xfId="0" applyNumberFormat="1" applyFont="1" applyFill="1" applyBorder="1" applyAlignment="1">
      <alignment vertical="center" readingOrder="1"/>
    </xf>
    <xf numFmtId="165" fontId="7" fillId="5" borderId="1" xfId="0" applyNumberFormat="1" applyFont="1" applyFill="1" applyBorder="1" applyAlignment="1">
      <alignment vertical="center" readingOrder="1"/>
    </xf>
    <xf numFmtId="165" fontId="7" fillId="4" borderId="1" xfId="0" applyNumberFormat="1" applyFont="1" applyFill="1" applyBorder="1" applyAlignment="1">
      <alignment vertical="center" readingOrder="1"/>
    </xf>
    <xf numFmtId="49" fontId="2" fillId="6" borderId="1" xfId="0" applyNumberFormat="1" applyFont="1" applyFill="1" applyBorder="1" applyAlignment="1">
      <alignment horizontal="center" vertical="center" readingOrder="1"/>
    </xf>
    <xf numFmtId="49" fontId="2" fillId="7" borderId="1" xfId="0" applyNumberFormat="1" applyFont="1" applyFill="1" applyBorder="1" applyAlignment="1">
      <alignment horizontal="center" vertical="center" readingOrder="1"/>
    </xf>
    <xf numFmtId="49" fontId="10" fillId="8" borderId="1" xfId="0" applyNumberFormat="1" applyFont="1" applyFill="1" applyBorder="1" applyAlignment="1">
      <alignment horizontal="center" vertical="center" readingOrder="1"/>
    </xf>
    <xf numFmtId="49" fontId="2" fillId="6" borderId="7" xfId="0" applyNumberFormat="1" applyFont="1" applyFill="1" applyBorder="1" applyAlignment="1">
      <alignment horizontal="center" vertical="center" readingOrder="1"/>
    </xf>
    <xf numFmtId="49" fontId="7" fillId="0" borderId="8" xfId="0" applyNumberFormat="1" applyFont="1" applyBorder="1" applyAlignment="1">
      <alignment vertical="center" readingOrder="1"/>
    </xf>
    <xf numFmtId="49" fontId="7" fillId="0" borderId="9" xfId="0" applyNumberFormat="1" applyFont="1" applyBorder="1" applyAlignment="1">
      <alignment vertical="center" readingOrder="1"/>
    </xf>
    <xf numFmtId="49" fontId="7" fillId="0" borderId="7" xfId="0" applyNumberFormat="1" applyFont="1" applyBorder="1" applyAlignment="1">
      <alignment vertical="center" readingOrder="1"/>
    </xf>
    <xf numFmtId="49" fontId="7" fillId="0" borderId="10" xfId="0" applyNumberFormat="1" applyFont="1" applyBorder="1" applyAlignment="1">
      <alignment vertical="center" readingOrder="1"/>
    </xf>
    <xf numFmtId="0" fontId="0" fillId="0" borderId="0" xfId="0" applyAlignment="1">
      <alignment horizontal="left"/>
    </xf>
    <xf numFmtId="49" fontId="5" fillId="3" borderId="1" xfId="0" applyNumberFormat="1" applyFont="1" applyFill="1" applyBorder="1" applyAlignment="1">
      <alignment horizontal="left" vertical="center" readingOrder="1"/>
    </xf>
    <xf numFmtId="4" fontId="0" fillId="0" borderId="0" xfId="0" applyNumberFormat="1" applyAlignment="1">
      <alignment horizontal="left"/>
    </xf>
    <xf numFmtId="49" fontId="7" fillId="0" borderId="2" xfId="0" applyNumberFormat="1" applyFont="1" applyBorder="1" applyAlignment="1">
      <alignment horizontal="left" vertical="center" readingOrder="1"/>
    </xf>
    <xf numFmtId="4" fontId="1" fillId="0" borderId="0" xfId="0" applyNumberFormat="1" applyFont="1" applyAlignment="1">
      <alignment horizontal="left"/>
    </xf>
    <xf numFmtId="49" fontId="7" fillId="3" borderId="2" xfId="0" applyNumberFormat="1" applyFont="1" applyFill="1" applyBorder="1" applyAlignment="1">
      <alignment horizontal="left" vertical="center" readingOrder="1"/>
    </xf>
    <xf numFmtId="49" fontId="7" fillId="3" borderId="1" xfId="0" applyNumberFormat="1" applyFont="1" applyFill="1" applyBorder="1" applyAlignment="1">
      <alignment horizontal="left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0" fontId="3" fillId="5" borderId="2" xfId="0" applyFont="1" applyFill="1" applyBorder="1" applyAlignment="1">
      <alignment horizontal="left" vertical="center" readingOrder="1"/>
    </xf>
    <xf numFmtId="4" fontId="12" fillId="0" borderId="0" xfId="0" applyNumberFormat="1" applyFont="1"/>
    <xf numFmtId="0" fontId="12" fillId="0" borderId="0" xfId="0" applyFont="1"/>
    <xf numFmtId="0" fontId="9" fillId="5" borderId="2" xfId="0" applyFont="1" applyFill="1" applyBorder="1" applyAlignment="1">
      <alignment horizontal="right" vertical="center" readingOrder="1"/>
    </xf>
    <xf numFmtId="4" fontId="9" fillId="5" borderId="4" xfId="0" applyNumberFormat="1" applyFont="1" applyFill="1" applyBorder="1" applyAlignment="1">
      <alignment horizontal="right" vertical="center" readingOrder="1"/>
    </xf>
    <xf numFmtId="49" fontId="8" fillId="5" borderId="2" xfId="0" applyNumberFormat="1" applyFont="1" applyFill="1" applyBorder="1" applyAlignment="1">
      <alignment horizontal="left" vertical="center" readingOrder="1"/>
    </xf>
    <xf numFmtId="49" fontId="8" fillId="5" borderId="4" xfId="0" applyNumberFormat="1" applyFont="1" applyFill="1" applyBorder="1" applyAlignment="1">
      <alignment horizontal="left" vertical="center" readingOrder="1"/>
    </xf>
    <xf numFmtId="165" fontId="7" fillId="5" borderId="2" xfId="0" applyNumberFormat="1" applyFont="1" applyFill="1" applyBorder="1" applyAlignment="1">
      <alignment horizontal="right" vertical="center" readingOrder="1"/>
    </xf>
    <xf numFmtId="165" fontId="7" fillId="5" borderId="4" xfId="0" applyNumberFormat="1" applyFont="1" applyFill="1" applyBorder="1" applyAlignment="1">
      <alignment horizontal="right" vertical="center" readingOrder="1"/>
    </xf>
    <xf numFmtId="49" fontId="2" fillId="2" borderId="1" xfId="0" applyNumberFormat="1" applyFont="1" applyFill="1" applyBorder="1" applyAlignment="1">
      <alignment horizontal="center" vertical="center" readingOrder="1"/>
    </xf>
    <xf numFmtId="49" fontId="5" fillId="3" borderId="1" xfId="0" applyNumberFormat="1" applyFont="1" applyFill="1" applyBorder="1" applyAlignment="1">
      <alignment horizontal="center" vertical="center" readingOrder="1"/>
    </xf>
    <xf numFmtId="49" fontId="5" fillId="3" borderId="1" xfId="0" applyNumberFormat="1" applyFont="1" applyFill="1" applyBorder="1" applyAlignment="1">
      <alignment horizontal="left" vertical="center" readingOrder="1"/>
    </xf>
    <xf numFmtId="49" fontId="5" fillId="3" borderId="2" xfId="0" applyNumberFormat="1" applyFont="1" applyFill="1" applyBorder="1" applyAlignment="1">
      <alignment horizontal="right" vertical="center" readingOrder="1"/>
    </xf>
    <xf numFmtId="49" fontId="5" fillId="3" borderId="4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topLeftCell="A45" zoomScale="116" workbookViewId="0">
      <selection activeCell="H67" sqref="H67"/>
    </sheetView>
  </sheetViews>
  <sheetFormatPr baseColWidth="10" defaultColWidth="8.83203125" defaultRowHeight="15" x14ac:dyDescent="0.2"/>
  <cols>
    <col min="1" max="1" width="44.5" bestFit="1" customWidth="1"/>
    <col min="3" max="3" width="5.33203125" customWidth="1"/>
    <col min="4" max="4" width="12.6640625" customWidth="1"/>
    <col min="5" max="5" width="10.1640625" customWidth="1"/>
    <col min="6" max="6" width="14" bestFit="1" customWidth="1"/>
    <col min="7" max="7" width="67.33203125" style="89" customWidth="1"/>
  </cols>
  <sheetData>
    <row r="1" spans="1:8" x14ac:dyDescent="0.2">
      <c r="A1" s="1" t="s">
        <v>27</v>
      </c>
      <c r="B1" s="2" t="s">
        <v>0</v>
      </c>
      <c r="C1" s="2"/>
      <c r="D1" s="3" t="s">
        <v>1</v>
      </c>
      <c r="E1" s="3" t="s">
        <v>2</v>
      </c>
      <c r="F1" s="3" t="s">
        <v>3</v>
      </c>
    </row>
    <row r="2" spans="1:8" x14ac:dyDescent="0.2">
      <c r="A2" s="4" t="s">
        <v>4</v>
      </c>
      <c r="B2" s="5">
        <v>9.5</v>
      </c>
      <c r="C2" s="6" t="s">
        <v>5</v>
      </c>
      <c r="D2" s="7">
        <v>13.52</v>
      </c>
      <c r="E2" s="8">
        <v>-4.0199999999999996</v>
      </c>
      <c r="F2" s="9">
        <v>-137.61000000000001</v>
      </c>
      <c r="G2" s="89" t="s">
        <v>6</v>
      </c>
    </row>
    <row r="3" spans="1:8" x14ac:dyDescent="0.2">
      <c r="A3" s="10" t="s">
        <v>7</v>
      </c>
      <c r="B3" s="11">
        <v>3.25</v>
      </c>
      <c r="C3" s="12" t="s">
        <v>5</v>
      </c>
      <c r="D3" s="13">
        <v>3.7</v>
      </c>
      <c r="E3" s="14">
        <v>-0.45</v>
      </c>
      <c r="F3" s="15">
        <v>-102.73</v>
      </c>
      <c r="G3" s="89" t="s">
        <v>8</v>
      </c>
      <c r="H3" t="s">
        <v>105</v>
      </c>
    </row>
    <row r="4" spans="1:8" x14ac:dyDescent="0.2">
      <c r="A4" s="4" t="s">
        <v>9</v>
      </c>
      <c r="B4" s="5">
        <v>31.5</v>
      </c>
      <c r="C4" s="6" t="s">
        <v>5</v>
      </c>
      <c r="D4" s="7">
        <v>34</v>
      </c>
      <c r="E4" s="8">
        <v>-2.5</v>
      </c>
      <c r="F4" s="9">
        <v>-94.65</v>
      </c>
      <c r="G4" s="89" t="s">
        <v>10</v>
      </c>
    </row>
    <row r="5" spans="1:8" x14ac:dyDescent="0.2">
      <c r="A5" s="10" t="s">
        <v>11</v>
      </c>
      <c r="B5" s="11">
        <v>50.2</v>
      </c>
      <c r="C5" s="12" t="s">
        <v>5</v>
      </c>
      <c r="D5" s="13">
        <v>62.53</v>
      </c>
      <c r="E5" s="14">
        <v>-12.33</v>
      </c>
      <c r="F5" s="15">
        <v>-36.5</v>
      </c>
      <c r="G5" s="89" t="s">
        <v>12</v>
      </c>
    </row>
    <row r="6" spans="1:8" x14ac:dyDescent="0.2">
      <c r="A6" s="10" t="s">
        <v>13</v>
      </c>
      <c r="B6" s="11">
        <v>6</v>
      </c>
      <c r="C6" s="12" t="s">
        <v>5</v>
      </c>
      <c r="D6" s="13">
        <v>6.75</v>
      </c>
      <c r="E6" s="14">
        <v>-0.75</v>
      </c>
      <c r="F6" s="15">
        <v>-23.02</v>
      </c>
      <c r="G6" s="89" t="s">
        <v>14</v>
      </c>
      <c r="H6" t="s">
        <v>104</v>
      </c>
    </row>
    <row r="7" spans="1:8" x14ac:dyDescent="0.2">
      <c r="A7" s="10" t="s">
        <v>15</v>
      </c>
      <c r="B7" s="11">
        <v>6.8</v>
      </c>
      <c r="C7" s="12" t="s">
        <v>5</v>
      </c>
      <c r="D7" s="13">
        <v>6.95</v>
      </c>
      <c r="E7" s="14">
        <v>-0.15</v>
      </c>
      <c r="F7" s="15">
        <v>-13.6</v>
      </c>
      <c r="G7" s="89" t="s">
        <v>16</v>
      </c>
    </row>
    <row r="8" spans="1:8" x14ac:dyDescent="0.2">
      <c r="F8" s="98">
        <f>SUM(F2:F7)</f>
        <v>-408.11</v>
      </c>
    </row>
    <row r="9" spans="1:8" x14ac:dyDescent="0.2">
      <c r="A9" s="106" t="s">
        <v>28</v>
      </c>
      <c r="B9" s="107"/>
      <c r="C9" s="107"/>
      <c r="D9" s="109" t="s">
        <v>1</v>
      </c>
      <c r="E9" s="16" t="s">
        <v>2</v>
      </c>
      <c r="F9" s="16" t="s">
        <v>3</v>
      </c>
      <c r="G9" s="108" t="s">
        <v>18</v>
      </c>
    </row>
    <row r="10" spans="1:8" x14ac:dyDescent="0.2">
      <c r="A10" s="106"/>
      <c r="B10" s="107" t="s">
        <v>19</v>
      </c>
      <c r="C10" s="107"/>
      <c r="D10" s="110"/>
      <c r="E10" s="16"/>
      <c r="F10" s="16"/>
      <c r="G10" s="108"/>
    </row>
    <row r="11" spans="1:8" x14ac:dyDescent="0.2">
      <c r="A11" s="17" t="s">
        <v>20</v>
      </c>
      <c r="B11" s="18">
        <v>0</v>
      </c>
      <c r="C11" s="19" t="s">
        <v>5</v>
      </c>
      <c r="D11" s="20">
        <v>9.0500000000000007</v>
      </c>
      <c r="E11" s="21">
        <v>-9.0500000000000007</v>
      </c>
      <c r="F11" s="22">
        <v>-106.31</v>
      </c>
      <c r="G11" s="23" t="s">
        <v>21</v>
      </c>
      <c r="H11" t="s">
        <v>104</v>
      </c>
    </row>
    <row r="12" spans="1:8" x14ac:dyDescent="0.2">
      <c r="A12" s="106" t="s">
        <v>29</v>
      </c>
      <c r="B12" s="107"/>
      <c r="C12" s="107"/>
      <c r="D12" s="107" t="s">
        <v>1</v>
      </c>
      <c r="E12" s="16" t="s">
        <v>2</v>
      </c>
      <c r="F12" s="16" t="s">
        <v>3</v>
      </c>
      <c r="G12" s="108" t="s">
        <v>18</v>
      </c>
    </row>
    <row r="13" spans="1:8" x14ac:dyDescent="0.2">
      <c r="A13" s="106"/>
      <c r="B13" s="107" t="s">
        <v>19</v>
      </c>
      <c r="C13" s="107"/>
      <c r="D13" s="107"/>
      <c r="E13" s="16"/>
      <c r="F13" s="16"/>
      <c r="G13" s="108"/>
    </row>
    <row r="14" spans="1:8" x14ac:dyDescent="0.2">
      <c r="A14" s="24" t="s">
        <v>22</v>
      </c>
      <c r="B14" s="25">
        <v>0</v>
      </c>
      <c r="C14" s="26" t="s">
        <v>23</v>
      </c>
      <c r="D14" s="27">
        <v>0.254</v>
      </c>
      <c r="E14" s="28">
        <v>-0.254</v>
      </c>
      <c r="F14" s="29">
        <v>-7.88</v>
      </c>
      <c r="G14" s="89" t="s">
        <v>24</v>
      </c>
      <c r="H14" t="s">
        <v>104</v>
      </c>
    </row>
    <row r="15" spans="1:8" x14ac:dyDescent="0.2">
      <c r="A15" s="24" t="s">
        <v>25</v>
      </c>
      <c r="B15" s="25">
        <v>0</v>
      </c>
      <c r="C15" s="26" t="s">
        <v>23</v>
      </c>
      <c r="D15" s="27">
        <v>0.27900000000000003</v>
      </c>
      <c r="E15" s="28">
        <v>-0.27900000000000003</v>
      </c>
      <c r="F15" s="29">
        <v>-5.72</v>
      </c>
      <c r="G15" s="89" t="s">
        <v>26</v>
      </c>
    </row>
    <row r="16" spans="1:8" x14ac:dyDescent="0.2">
      <c r="F16" s="98">
        <f>SUM(F14:F15)</f>
        <v>-13.6</v>
      </c>
    </row>
    <row r="19" spans="1:8" x14ac:dyDescent="0.2">
      <c r="G19" s="91"/>
    </row>
    <row r="20" spans="1:8" x14ac:dyDescent="0.2">
      <c r="A20" s="84" t="s">
        <v>49</v>
      </c>
      <c r="B20" s="85" t="s">
        <v>30</v>
      </c>
      <c r="C20" s="86" t="s">
        <v>31</v>
      </c>
      <c r="D20" s="87" t="s">
        <v>1</v>
      </c>
      <c r="E20" s="88" t="s">
        <v>2</v>
      </c>
      <c r="F20" s="87" t="s">
        <v>32</v>
      </c>
      <c r="G20" s="92" t="s">
        <v>18</v>
      </c>
    </row>
    <row r="21" spans="1:8" x14ac:dyDescent="0.2">
      <c r="A21" s="102" t="s">
        <v>33</v>
      </c>
      <c r="B21" s="30">
        <v>0</v>
      </c>
      <c r="C21" s="31" t="s">
        <v>23</v>
      </c>
      <c r="D21" s="104">
        <v>133.36500000000001</v>
      </c>
      <c r="E21" s="77">
        <v>-35.972999999999999</v>
      </c>
      <c r="F21" s="100">
        <v>-1150.78</v>
      </c>
      <c r="G21" s="32" t="s">
        <v>34</v>
      </c>
    </row>
    <row r="22" spans="1:8" x14ac:dyDescent="0.2">
      <c r="A22" s="103"/>
      <c r="B22" s="33">
        <v>28.803999999999998</v>
      </c>
      <c r="C22" s="34" t="s">
        <v>23</v>
      </c>
      <c r="D22" s="105"/>
      <c r="E22" s="78"/>
      <c r="F22" s="101"/>
    </row>
    <row r="23" spans="1:8" x14ac:dyDescent="0.2">
      <c r="A23" s="36" t="s">
        <v>36</v>
      </c>
      <c r="B23" s="33">
        <v>0</v>
      </c>
      <c r="C23" s="34" t="s">
        <v>35</v>
      </c>
      <c r="D23" s="37">
        <v>23</v>
      </c>
      <c r="E23" s="76">
        <v>-2</v>
      </c>
      <c r="F23" s="38">
        <v>-19.88</v>
      </c>
    </row>
    <row r="24" spans="1:8" x14ac:dyDescent="0.2">
      <c r="A24" s="39" t="s">
        <v>37</v>
      </c>
      <c r="B24" s="30">
        <v>1</v>
      </c>
      <c r="C24" s="31" t="s">
        <v>35</v>
      </c>
      <c r="D24" s="40">
        <v>3</v>
      </c>
      <c r="E24" s="75">
        <v>-2</v>
      </c>
      <c r="F24" s="41">
        <v>-29.9</v>
      </c>
    </row>
    <row r="25" spans="1:8" x14ac:dyDescent="0.2">
      <c r="A25" s="102" t="s">
        <v>38</v>
      </c>
      <c r="B25" s="30">
        <v>230</v>
      </c>
      <c r="C25" s="31" t="s">
        <v>35</v>
      </c>
      <c r="D25" s="104">
        <v>457</v>
      </c>
      <c r="E25" s="77">
        <v>-204</v>
      </c>
      <c r="F25" s="100">
        <v>-44.88</v>
      </c>
      <c r="H25" t="s">
        <v>106</v>
      </c>
    </row>
    <row r="26" spans="1:8" x14ac:dyDescent="0.2">
      <c r="A26" s="103"/>
      <c r="B26" s="33">
        <v>23</v>
      </c>
      <c r="C26" s="34" t="s">
        <v>35</v>
      </c>
      <c r="D26" s="105"/>
      <c r="E26" s="78"/>
      <c r="F26" s="101"/>
    </row>
    <row r="27" spans="1:8" x14ac:dyDescent="0.2">
      <c r="A27" s="39" t="s">
        <v>39</v>
      </c>
      <c r="B27" s="30">
        <v>0</v>
      </c>
      <c r="C27" s="31" t="s">
        <v>35</v>
      </c>
      <c r="D27" s="40">
        <v>1</v>
      </c>
      <c r="E27" s="75">
        <v>-1</v>
      </c>
      <c r="F27" s="41">
        <v>-20.74</v>
      </c>
    </row>
    <row r="28" spans="1:8" x14ac:dyDescent="0.2">
      <c r="F28" s="99">
        <f>SUM(F21:F27)</f>
        <v>-1266.1800000000003</v>
      </c>
      <c r="H28" s="42"/>
    </row>
    <row r="29" spans="1:8" x14ac:dyDescent="0.2">
      <c r="A29" s="81" t="s">
        <v>50</v>
      </c>
      <c r="B29" s="16"/>
      <c r="C29" s="16"/>
      <c r="D29" s="16" t="s">
        <v>1</v>
      </c>
      <c r="E29" s="16" t="s">
        <v>2</v>
      </c>
      <c r="F29" s="16" t="s">
        <v>32</v>
      </c>
      <c r="G29" s="90" t="s">
        <v>18</v>
      </c>
    </row>
    <row r="30" spans="1:8" x14ac:dyDescent="0.2">
      <c r="A30" s="24" t="s">
        <v>40</v>
      </c>
      <c r="B30" s="43">
        <v>4.1500000000000004</v>
      </c>
      <c r="C30" s="26" t="s">
        <v>5</v>
      </c>
      <c r="D30" s="27">
        <v>5.79</v>
      </c>
      <c r="E30" s="28">
        <v>-1.64</v>
      </c>
      <c r="F30" s="29">
        <v>-45.22</v>
      </c>
      <c r="G30" s="44" t="s">
        <v>41</v>
      </c>
      <c r="H30" t="s">
        <v>107</v>
      </c>
    </row>
    <row r="31" spans="1:8" x14ac:dyDescent="0.2">
      <c r="A31" s="17" t="s">
        <v>42</v>
      </c>
      <c r="B31" s="45">
        <v>0</v>
      </c>
      <c r="C31" s="19" t="s">
        <v>5</v>
      </c>
      <c r="D31" s="20">
        <v>0.75</v>
      </c>
      <c r="E31" s="21">
        <v>-0.75</v>
      </c>
      <c r="F31" s="22">
        <v>-20.64</v>
      </c>
      <c r="G31" s="44" t="s">
        <v>43</v>
      </c>
      <c r="H31" t="s">
        <v>107</v>
      </c>
    </row>
    <row r="32" spans="1:8" x14ac:dyDescent="0.2">
      <c r="A32" s="24" t="s">
        <v>44</v>
      </c>
      <c r="B32" s="43">
        <v>30</v>
      </c>
      <c r="C32" s="26" t="s">
        <v>35</v>
      </c>
      <c r="D32" s="27">
        <v>31</v>
      </c>
      <c r="E32" s="28">
        <v>-1</v>
      </c>
      <c r="F32" s="29">
        <v>-1.98</v>
      </c>
      <c r="G32" s="44" t="s">
        <v>45</v>
      </c>
    </row>
    <row r="33" spans="1:8" x14ac:dyDescent="0.2">
      <c r="A33" s="24" t="s">
        <v>46</v>
      </c>
      <c r="B33" s="43">
        <v>17</v>
      </c>
      <c r="C33" s="26" t="s">
        <v>5</v>
      </c>
      <c r="D33" s="27">
        <v>17.45</v>
      </c>
      <c r="E33" s="28">
        <v>-0.45</v>
      </c>
      <c r="F33" s="29">
        <v>-6.07</v>
      </c>
      <c r="G33" s="44" t="s">
        <v>45</v>
      </c>
    </row>
    <row r="34" spans="1:8" x14ac:dyDescent="0.2">
      <c r="A34" s="17" t="s">
        <v>47</v>
      </c>
      <c r="B34" s="45">
        <v>3</v>
      </c>
      <c r="C34" s="19" t="s">
        <v>5</v>
      </c>
      <c r="D34" s="20">
        <v>3.15</v>
      </c>
      <c r="E34" s="21">
        <v>-0.15</v>
      </c>
      <c r="F34" s="22">
        <v>-4.9800000000000004</v>
      </c>
      <c r="H34" t="s">
        <v>107</v>
      </c>
    </row>
    <row r="35" spans="1:8" x14ac:dyDescent="0.2">
      <c r="A35" s="24" t="s">
        <v>48</v>
      </c>
      <c r="B35" s="43">
        <v>7.3</v>
      </c>
      <c r="C35" s="26" t="s">
        <v>5</v>
      </c>
      <c r="D35" s="27">
        <v>8.59</v>
      </c>
      <c r="E35" s="28">
        <v>-1.29</v>
      </c>
      <c r="F35" s="29">
        <v>-9.43</v>
      </c>
      <c r="H35" t="s">
        <v>107</v>
      </c>
    </row>
    <row r="36" spans="1:8" x14ac:dyDescent="0.2">
      <c r="F36" s="98">
        <f>SUM(F30:F35)</f>
        <v>-88.32</v>
      </c>
      <c r="G36" s="93"/>
    </row>
    <row r="38" spans="1:8" x14ac:dyDescent="0.2">
      <c r="A38" s="82" t="s">
        <v>72</v>
      </c>
      <c r="B38" s="47" t="s">
        <v>30</v>
      </c>
      <c r="C38" s="47" t="s">
        <v>31</v>
      </c>
      <c r="D38" s="47" t="s">
        <v>1</v>
      </c>
      <c r="E38" s="47" t="s">
        <v>2</v>
      </c>
      <c r="F38" s="47" t="s">
        <v>3</v>
      </c>
      <c r="G38" s="94" t="s">
        <v>51</v>
      </c>
    </row>
    <row r="39" spans="1:8" x14ac:dyDescent="0.2">
      <c r="A39" s="39" t="s">
        <v>52</v>
      </c>
      <c r="B39" s="30">
        <v>0.94499999999999995</v>
      </c>
      <c r="C39" s="31" t="s">
        <v>23</v>
      </c>
      <c r="D39" s="79">
        <v>1.7450000000000003</v>
      </c>
      <c r="E39" s="48">
        <v>-0.8</v>
      </c>
      <c r="F39" s="49">
        <v>-37.4</v>
      </c>
      <c r="H39" t="s">
        <v>107</v>
      </c>
    </row>
    <row r="40" spans="1:8" x14ac:dyDescent="0.2">
      <c r="A40" s="35" t="s">
        <v>53</v>
      </c>
      <c r="B40" s="33">
        <v>13.5</v>
      </c>
      <c r="C40" s="34" t="s">
        <v>23</v>
      </c>
      <c r="D40" s="80">
        <v>17.88</v>
      </c>
      <c r="E40" s="50">
        <v>-4.38</v>
      </c>
      <c r="F40" s="51">
        <v>-19.71</v>
      </c>
      <c r="H40" t="s">
        <v>107</v>
      </c>
    </row>
    <row r="41" spans="1:8" x14ac:dyDescent="0.2">
      <c r="A41" s="39" t="s">
        <v>54</v>
      </c>
      <c r="B41" s="30">
        <v>0</v>
      </c>
      <c r="C41" s="31" t="s">
        <v>23</v>
      </c>
      <c r="D41" s="79">
        <v>0.80600000000000005</v>
      </c>
      <c r="E41" s="48">
        <v>-0.80600000000000005</v>
      </c>
      <c r="F41" s="49">
        <v>-20</v>
      </c>
      <c r="H41" t="s">
        <v>107</v>
      </c>
    </row>
    <row r="42" spans="1:8" x14ac:dyDescent="0.2">
      <c r="F42" s="98">
        <f>SUM(F39:F41)</f>
        <v>-77.11</v>
      </c>
      <c r="H42" s="46"/>
    </row>
    <row r="43" spans="1:8" x14ac:dyDescent="0.2">
      <c r="A43" s="82" t="s">
        <v>103</v>
      </c>
      <c r="B43" s="47" t="s">
        <v>30</v>
      </c>
      <c r="C43" s="47" t="s">
        <v>31</v>
      </c>
      <c r="D43" s="52" t="s">
        <v>17</v>
      </c>
      <c r="E43" s="52" t="s">
        <v>2</v>
      </c>
      <c r="F43" s="52" t="s">
        <v>3</v>
      </c>
      <c r="G43" s="95" t="s">
        <v>18</v>
      </c>
    </row>
    <row r="44" spans="1:8" x14ac:dyDescent="0.2">
      <c r="A44" s="39" t="s">
        <v>55</v>
      </c>
      <c r="B44" s="30">
        <v>71</v>
      </c>
      <c r="C44" s="31" t="s">
        <v>35</v>
      </c>
      <c r="D44" s="53" t="s">
        <v>56</v>
      </c>
      <c r="E44" s="54">
        <v>-5</v>
      </c>
      <c r="F44" s="55">
        <v>-12</v>
      </c>
      <c r="G44" s="89" t="s">
        <v>57</v>
      </c>
    </row>
    <row r="45" spans="1:8" x14ac:dyDescent="0.2">
      <c r="A45" s="35" t="s">
        <v>58</v>
      </c>
      <c r="B45" s="33">
        <v>1</v>
      </c>
      <c r="C45" s="34" t="s">
        <v>5</v>
      </c>
      <c r="D45" s="56" t="s">
        <v>59</v>
      </c>
      <c r="E45" s="57">
        <v>-0.34</v>
      </c>
      <c r="F45" s="58">
        <v>-25.26</v>
      </c>
      <c r="G45" s="89" t="s">
        <v>60</v>
      </c>
      <c r="H45" t="s">
        <v>107</v>
      </c>
    </row>
    <row r="46" spans="1:8" x14ac:dyDescent="0.2">
      <c r="A46" s="39" t="s">
        <v>61</v>
      </c>
      <c r="B46" s="30">
        <v>268</v>
      </c>
      <c r="C46" s="31" t="s">
        <v>35</v>
      </c>
      <c r="D46" s="53" t="s">
        <v>62</v>
      </c>
      <c r="E46" s="54">
        <v>-30</v>
      </c>
      <c r="F46" s="55">
        <v>-38.4</v>
      </c>
      <c r="G46" s="89" t="s">
        <v>63</v>
      </c>
      <c r="H46" t="s">
        <v>108</v>
      </c>
    </row>
    <row r="47" spans="1:8" x14ac:dyDescent="0.2">
      <c r="A47" s="4" t="s">
        <v>64</v>
      </c>
      <c r="B47" s="7">
        <v>21</v>
      </c>
      <c r="C47" s="59" t="s">
        <v>35</v>
      </c>
      <c r="D47" s="60" t="s">
        <v>65</v>
      </c>
      <c r="E47" s="57">
        <v>-1</v>
      </c>
      <c r="F47" s="58">
        <v>-5.8</v>
      </c>
    </row>
    <row r="48" spans="1:8" x14ac:dyDescent="0.2">
      <c r="A48" s="10" t="s">
        <v>66</v>
      </c>
      <c r="B48" s="13">
        <v>5</v>
      </c>
      <c r="C48" s="61" t="s">
        <v>35</v>
      </c>
      <c r="D48" s="62" t="s">
        <v>67</v>
      </c>
      <c r="E48" s="54">
        <v>-1</v>
      </c>
      <c r="F48" s="55">
        <v>-4.2</v>
      </c>
    </row>
    <row r="49" spans="1:8" x14ac:dyDescent="0.2">
      <c r="A49" s="10" t="s">
        <v>68</v>
      </c>
      <c r="B49" s="13">
        <v>0</v>
      </c>
      <c r="C49" s="61" t="s">
        <v>35</v>
      </c>
      <c r="D49" s="62" t="s">
        <v>69</v>
      </c>
      <c r="E49" s="54">
        <v>-1</v>
      </c>
      <c r="F49" s="55">
        <v>-2.5</v>
      </c>
    </row>
    <row r="50" spans="1:8" x14ac:dyDescent="0.2">
      <c r="A50" s="4" t="s">
        <v>70</v>
      </c>
      <c r="B50" s="7">
        <v>62</v>
      </c>
      <c r="C50" s="59" t="s">
        <v>35</v>
      </c>
      <c r="D50" s="60" t="s">
        <v>71</v>
      </c>
      <c r="E50" s="57">
        <v>-1</v>
      </c>
      <c r="F50" s="58">
        <v>-1.29</v>
      </c>
    </row>
    <row r="51" spans="1:8" x14ac:dyDescent="0.2">
      <c r="F51" s="98">
        <f>SUM(F44:F50)</f>
        <v>-89.45</v>
      </c>
    </row>
    <row r="52" spans="1:8" x14ac:dyDescent="0.2">
      <c r="A52" s="83" t="s">
        <v>101</v>
      </c>
      <c r="B52" s="3" t="s">
        <v>30</v>
      </c>
      <c r="C52" s="3"/>
      <c r="D52" s="3" t="s">
        <v>1</v>
      </c>
      <c r="E52" s="3" t="s">
        <v>2</v>
      </c>
      <c r="F52" s="3" t="s">
        <v>3</v>
      </c>
      <c r="G52" s="96" t="s">
        <v>18</v>
      </c>
    </row>
    <row r="53" spans="1:8" x14ac:dyDescent="0.2">
      <c r="A53" s="4" t="s">
        <v>46</v>
      </c>
      <c r="B53" s="63">
        <v>6.81</v>
      </c>
      <c r="C53" s="59" t="s">
        <v>5</v>
      </c>
      <c r="D53" s="7">
        <v>7.875</v>
      </c>
      <c r="E53" s="8">
        <v>-1.0649999999999999</v>
      </c>
      <c r="F53" s="9">
        <v>-13.9</v>
      </c>
      <c r="G53" s="64" t="s">
        <v>73</v>
      </c>
    </row>
    <row r="54" spans="1:8" x14ac:dyDescent="0.2">
      <c r="A54" s="4" t="s">
        <v>74</v>
      </c>
      <c r="B54" s="63">
        <v>15.4</v>
      </c>
      <c r="C54" s="59" t="s">
        <v>5</v>
      </c>
      <c r="D54" s="7">
        <v>16</v>
      </c>
      <c r="E54" s="8">
        <v>-0.6</v>
      </c>
      <c r="F54" s="9">
        <v>-10.42</v>
      </c>
      <c r="G54" s="64" t="s">
        <v>75</v>
      </c>
    </row>
    <row r="55" spans="1:8" x14ac:dyDescent="0.2">
      <c r="A55" s="4" t="s">
        <v>76</v>
      </c>
      <c r="B55" s="63">
        <v>3.56</v>
      </c>
      <c r="C55" s="59" t="s">
        <v>5</v>
      </c>
      <c r="D55" s="7">
        <v>3.7149999999999999</v>
      </c>
      <c r="E55" s="8">
        <v>-0.155</v>
      </c>
      <c r="F55" s="9">
        <v>-8.2799999999999994</v>
      </c>
      <c r="G55" s="64" t="s">
        <v>77</v>
      </c>
    </row>
    <row r="56" spans="1:8" x14ac:dyDescent="0.2">
      <c r="A56" s="10" t="s">
        <v>78</v>
      </c>
      <c r="B56" s="65">
        <v>1.1000000000000001</v>
      </c>
      <c r="C56" s="61" t="s">
        <v>5</v>
      </c>
      <c r="D56" s="13">
        <v>1.2</v>
      </c>
      <c r="E56" s="14">
        <v>-0.1</v>
      </c>
      <c r="F56" s="15">
        <v>-7.76</v>
      </c>
      <c r="G56" s="64" t="s">
        <v>77</v>
      </c>
    </row>
    <row r="57" spans="1:8" x14ac:dyDescent="0.2">
      <c r="A57" s="10" t="s">
        <v>79</v>
      </c>
      <c r="B57" s="65">
        <v>3</v>
      </c>
      <c r="C57" s="61" t="s">
        <v>5</v>
      </c>
      <c r="D57" s="13">
        <v>3.1</v>
      </c>
      <c r="E57" s="14">
        <v>-0.1</v>
      </c>
      <c r="F57" s="15">
        <v>-3.61</v>
      </c>
      <c r="G57" s="64" t="s">
        <v>77</v>
      </c>
    </row>
    <row r="58" spans="1:8" x14ac:dyDescent="0.2">
      <c r="F58" s="98">
        <f>SUM(F53:F57)</f>
        <v>-43.97</v>
      </c>
      <c r="G58" s="91"/>
    </row>
    <row r="60" spans="1:8" x14ac:dyDescent="0.2">
      <c r="A60" s="83" t="s">
        <v>102</v>
      </c>
      <c r="B60" s="3" t="s">
        <v>30</v>
      </c>
      <c r="C60" s="3"/>
      <c r="D60" s="3" t="s">
        <v>1</v>
      </c>
      <c r="E60" s="3" t="s">
        <v>2</v>
      </c>
      <c r="F60" s="3" t="s">
        <v>3</v>
      </c>
      <c r="G60" s="96" t="s">
        <v>18</v>
      </c>
    </row>
    <row r="61" spans="1:8" x14ac:dyDescent="0.2">
      <c r="A61" s="66" t="s">
        <v>80</v>
      </c>
      <c r="B61" s="67">
        <v>9.9779999999999998</v>
      </c>
      <c r="C61" s="59" t="s">
        <v>23</v>
      </c>
      <c r="D61" s="68">
        <v>15.338888880000001</v>
      </c>
      <c r="E61" s="8">
        <v>-5.3608888800000001</v>
      </c>
      <c r="F61" s="9">
        <v>-131.18</v>
      </c>
      <c r="G61" s="97" t="s">
        <v>81</v>
      </c>
      <c r="H61" t="s">
        <v>107</v>
      </c>
    </row>
    <row r="62" spans="1:8" x14ac:dyDescent="0.2">
      <c r="A62" s="10" t="s">
        <v>82</v>
      </c>
      <c r="B62" s="69">
        <v>6</v>
      </c>
      <c r="C62" s="61" t="s">
        <v>35</v>
      </c>
      <c r="D62" s="13">
        <v>15</v>
      </c>
      <c r="E62" s="14">
        <v>-9</v>
      </c>
      <c r="F62" s="15">
        <v>-103.5</v>
      </c>
      <c r="G62" s="23" t="s">
        <v>83</v>
      </c>
      <c r="H62" t="s">
        <v>107</v>
      </c>
    </row>
    <row r="63" spans="1:8" x14ac:dyDescent="0.2">
      <c r="A63" s="4" t="s">
        <v>84</v>
      </c>
      <c r="B63" s="70">
        <v>14</v>
      </c>
      <c r="C63" s="59" t="s">
        <v>35</v>
      </c>
      <c r="D63" s="7">
        <v>23</v>
      </c>
      <c r="E63" s="8">
        <v>-9</v>
      </c>
      <c r="F63" s="9">
        <v>-49.5</v>
      </c>
      <c r="G63" s="23" t="s">
        <v>85</v>
      </c>
      <c r="H63" t="s">
        <v>107</v>
      </c>
    </row>
    <row r="64" spans="1:8" x14ac:dyDescent="0.2">
      <c r="A64" s="4" t="s">
        <v>86</v>
      </c>
      <c r="B64" s="70">
        <v>15</v>
      </c>
      <c r="C64" s="59" t="s">
        <v>35</v>
      </c>
      <c r="D64" s="7">
        <v>87</v>
      </c>
      <c r="E64" s="8">
        <v>-72</v>
      </c>
      <c r="F64" s="9">
        <v>-39.619999999999997</v>
      </c>
      <c r="G64" s="23" t="s">
        <v>87</v>
      </c>
      <c r="H64" t="s">
        <v>107</v>
      </c>
    </row>
    <row r="65" spans="1:8" x14ac:dyDescent="0.2">
      <c r="A65" s="10" t="s">
        <v>88</v>
      </c>
      <c r="B65" s="69">
        <v>15</v>
      </c>
      <c r="C65" s="61" t="s">
        <v>35</v>
      </c>
      <c r="D65" s="13">
        <v>30</v>
      </c>
      <c r="E65" s="14">
        <v>-15</v>
      </c>
      <c r="F65" s="15">
        <v>-22.04</v>
      </c>
      <c r="G65" s="23" t="s">
        <v>89</v>
      </c>
      <c r="H65" t="s">
        <v>107</v>
      </c>
    </row>
    <row r="66" spans="1:8" x14ac:dyDescent="0.2">
      <c r="A66" s="4" t="s">
        <v>90</v>
      </c>
      <c r="B66" s="70">
        <v>28</v>
      </c>
      <c r="C66" s="59" t="s">
        <v>35</v>
      </c>
      <c r="D66" s="7">
        <v>48</v>
      </c>
      <c r="E66" s="8">
        <v>-20</v>
      </c>
      <c r="F66" s="9">
        <v>-16.43</v>
      </c>
      <c r="G66" s="23" t="s">
        <v>91</v>
      </c>
      <c r="H66" t="s">
        <v>107</v>
      </c>
    </row>
    <row r="67" spans="1:8" x14ac:dyDescent="0.2">
      <c r="A67" s="71" t="s">
        <v>92</v>
      </c>
      <c r="B67" s="72">
        <v>35</v>
      </c>
      <c r="C67" s="61" t="s">
        <v>35</v>
      </c>
      <c r="D67" s="13">
        <v>77</v>
      </c>
      <c r="E67" s="14">
        <v>-42</v>
      </c>
      <c r="F67" s="15">
        <v>-15.4</v>
      </c>
      <c r="G67" s="23" t="s">
        <v>93</v>
      </c>
      <c r="H67" t="s">
        <v>107</v>
      </c>
    </row>
    <row r="68" spans="1:8" x14ac:dyDescent="0.2">
      <c r="A68" s="10" t="s">
        <v>94</v>
      </c>
      <c r="B68" s="69">
        <v>19</v>
      </c>
      <c r="C68" s="61" t="s">
        <v>35</v>
      </c>
      <c r="D68" s="13">
        <v>20</v>
      </c>
      <c r="E68" s="14">
        <v>-1</v>
      </c>
      <c r="F68" s="15">
        <v>-4.8600000000000003</v>
      </c>
    </row>
    <row r="69" spans="1:8" x14ac:dyDescent="0.2">
      <c r="A69" s="10" t="s">
        <v>95</v>
      </c>
      <c r="B69" s="69">
        <v>29</v>
      </c>
      <c r="C69" s="61" t="s">
        <v>35</v>
      </c>
      <c r="D69" s="13">
        <v>30</v>
      </c>
      <c r="E69" s="14">
        <v>-1</v>
      </c>
      <c r="F69" s="15">
        <v>-4.32</v>
      </c>
    </row>
    <row r="70" spans="1:8" x14ac:dyDescent="0.2">
      <c r="A70" s="10" t="s">
        <v>96</v>
      </c>
      <c r="B70" s="69">
        <v>13</v>
      </c>
      <c r="C70" s="61" t="s">
        <v>35</v>
      </c>
      <c r="D70" s="13">
        <v>14</v>
      </c>
      <c r="E70" s="14">
        <v>-1</v>
      </c>
      <c r="F70" s="15">
        <v>-2.67</v>
      </c>
      <c r="H70" t="s">
        <v>107</v>
      </c>
    </row>
    <row r="71" spans="1:8" x14ac:dyDescent="0.2">
      <c r="A71" s="10" t="s">
        <v>97</v>
      </c>
      <c r="B71" s="69">
        <v>1.6</v>
      </c>
      <c r="C71" s="61" t="s">
        <v>23</v>
      </c>
      <c r="D71" s="13">
        <v>3.23</v>
      </c>
      <c r="E71" s="14">
        <v>-1.63</v>
      </c>
      <c r="F71" s="15">
        <v>-87.78</v>
      </c>
      <c r="G71" s="23" t="s">
        <v>98</v>
      </c>
    </row>
    <row r="72" spans="1:8" x14ac:dyDescent="0.2">
      <c r="A72" s="4" t="s">
        <v>99</v>
      </c>
      <c r="B72" s="70">
        <v>1.4650000000000001</v>
      </c>
      <c r="C72" s="59" t="s">
        <v>23</v>
      </c>
      <c r="D72" s="7">
        <v>7.7793999999999999</v>
      </c>
      <c r="E72" s="8">
        <v>-6.3144</v>
      </c>
      <c r="F72" s="9">
        <v>-117.36</v>
      </c>
      <c r="G72" s="23" t="s">
        <v>100</v>
      </c>
      <c r="H72" t="s">
        <v>107</v>
      </c>
    </row>
    <row r="73" spans="1:8" x14ac:dyDescent="0.2">
      <c r="A73" s="73" t="s">
        <v>33</v>
      </c>
      <c r="B73" s="74">
        <v>2.6890000000000001</v>
      </c>
      <c r="C73" s="61" t="s">
        <v>23</v>
      </c>
      <c r="D73" s="13">
        <v>6.3698333089999997</v>
      </c>
      <c r="E73" s="14">
        <v>-3.6808333090000001</v>
      </c>
      <c r="F73" s="15">
        <v>-114.19</v>
      </c>
      <c r="G73" s="23" t="s">
        <v>100</v>
      </c>
      <c r="H73" t="s">
        <v>107</v>
      </c>
    </row>
    <row r="74" spans="1:8" x14ac:dyDescent="0.2">
      <c r="F74" s="98">
        <f>SUM(F61:F73)</f>
        <v>-708.85000000000014</v>
      </c>
      <c r="G74" s="91"/>
    </row>
  </sheetData>
  <mergeCells count="16">
    <mergeCell ref="A9:A10"/>
    <mergeCell ref="B9:C9"/>
    <mergeCell ref="D9:D10"/>
    <mergeCell ref="G9:G10"/>
    <mergeCell ref="B10:C10"/>
    <mergeCell ref="A12:A13"/>
    <mergeCell ref="B12:C12"/>
    <mergeCell ref="D12:D13"/>
    <mergeCell ref="G12:G13"/>
    <mergeCell ref="B13:C13"/>
    <mergeCell ref="F25:F26"/>
    <mergeCell ref="A25:A26"/>
    <mergeCell ref="D25:D26"/>
    <mergeCell ref="A21:A22"/>
    <mergeCell ref="D21:D22"/>
    <mergeCell ref="F21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Hasan Mahmudov</cp:lastModifiedBy>
  <dcterms:created xsi:type="dcterms:W3CDTF">2015-06-05T18:17:20Z</dcterms:created>
  <dcterms:modified xsi:type="dcterms:W3CDTF">2025-12-08T19:33:58Z</dcterms:modified>
</cp:coreProperties>
</file>